
<file path=[Content_Types].xml><?xml version="1.0" encoding="utf-8"?>
<Types xmlns="http://schemas.openxmlformats.org/package/2006/content-types">
  <Default Extension="xml" ContentType="application/xml"/>
  <Default Extension="wmf" ContentType="image/x-wmf"/>
  <Default Extension="bin" ContentType="application/vnd.openxmlformats-officedocument.oleObject"/>
  <Default Extension="rels" ContentType="application/vnd.openxmlformats-package.relationships+xml"/>
  <Default Extension="jpeg" ContentType="image/jpeg"/>
  <Default Extension="png" ContentType="image/png"/>
  <Override PartName="/xl/styles.xml" ContentType="application/vnd.openxmlformats-officedocument.spreadsheetml.styles+xml"/>
  <Override PartName="/xl/theme/theme1.xml" ContentType="application/vnd.openxmlformats-officedocument.theme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 Id="rId1" Type="http://schemas.openxmlformats.org/officeDocument/2006/relationships/extended-properties" Target="docProps/app.xml"/><Relationship  Id="rId2" Type="http://schemas.openxmlformats.org/package/2006/relationships/metadata/core-properties" Target="docProps/core.xml"/><Relationship  Id="rId3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4="http://schemas.microsoft.com/office/spreadsheetml/2009/9/main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/>
  <bookViews>
    <workbookView xWindow="360" yWindow="15" windowWidth="20955" windowHeight="9720" activeTab="0"/>
  </bookViews>
  <sheets>
    <sheet name="papers" sheetId="1" state="visible" r:id="rId1"/>
    <sheet name="concepts" sheetId="2" state="visible" r:id="rId2"/>
  </sheets>
  <calcPr/>
  <extLst>
    <ext xmlns:x15="http://schemas.microsoft.com/office/spreadsheetml/2010/11/main" uri="{D0CA8CA8-9F24-4464-BF8E-62219DCF47F9}"/>
  </extLst>
</workbook>
</file>

<file path=xl/sharedStrings.xml><?xml version="1.0" encoding="utf-8"?>
<sst xmlns="http://schemas.openxmlformats.org/spreadsheetml/2006/main" count="39" uniqueCount="39">
  <si>
    <t>paper</t>
  </si>
  <si>
    <t>title</t>
  </si>
  <si>
    <t>doi</t>
  </si>
  <si>
    <t xml:space="preserve">EXP concept:method</t>
  </si>
  <si>
    <t xml:space="preserve">EXP concept:pathogen</t>
  </si>
  <si>
    <t xml:space="preserve">REAL concept:method</t>
  </si>
  <si>
    <t xml:space="preserve">REAL concept:pathogen</t>
  </si>
  <si>
    <t xml:space="preserve">processing time (s)</t>
  </si>
  <si>
    <t xml:space="preserve">Immunogenicity of three-­dose ...</t>
  </si>
  <si>
    <t>https://​doi.​org/​10.​1136/​bmjno-​2025-​001210</t>
  </si>
  <si>
    <t xml:space="preserve">prospective cohort</t>
  </si>
  <si>
    <t>covid</t>
  </si>
  <si>
    <t xml:space="preserve">Obesity in Recovery ...</t>
  </si>
  <si>
    <t>https://doi.org/10.1111/irv.70185</t>
  </si>
  <si>
    <t>RCT</t>
  </si>
  <si>
    <t>influenza</t>
  </si>
  <si>
    <t xml:space="preserve">Association of socio-economic...</t>
  </si>
  <si>
    <t>https://doi.org/10.1186/s12942-025-00446-2</t>
  </si>
  <si>
    <t xml:space="preserve">retrospective cohort</t>
  </si>
  <si>
    <t xml:space="preserve">Hydroxychloroquine for...</t>
  </si>
  <si>
    <t>https://doi.org/10.1371/journal.pone.0261980</t>
  </si>
  <si>
    <t xml:space="preserve">randomized controlled trial</t>
  </si>
  <si>
    <t xml:space="preserve">Investigating the contribution...</t>
  </si>
  <si>
    <t>https://doi.org/10.1080/21623945.2025.2596403</t>
  </si>
  <si>
    <t xml:space="preserve">mendelian randomization</t>
  </si>
  <si>
    <t>/</t>
  </si>
  <si>
    <t xml:space="preserve">overall pairs=</t>
  </si>
  <si>
    <t>correct=</t>
  </si>
  <si>
    <t>missed=</t>
  </si>
  <si>
    <t xml:space="preserve">average processing time</t>
  </si>
  <si>
    <t xml:space="preserve">syntactically wrong</t>
  </si>
  <si>
    <t xml:space="preserve">median processing time</t>
  </si>
  <si>
    <t xml:space="preserve">std processing time</t>
  </si>
  <si>
    <t>concept</t>
  </si>
  <si>
    <t>values</t>
  </si>
  <si>
    <t>method</t>
  </si>
  <si>
    <t xml:space="preserve">RCT,prospective cohort, retrospective cohort, mendelian randomization</t>
  </si>
  <si>
    <t>pathogen</t>
  </si>
  <si>
    <t xml:space="preserve">influenza, covid</t>
  </si>
</sst>
</file>

<file path=xl/styles.xml><?xml version="1.0" encoding="utf-8"?>
<styleSheet xmlns="http://schemas.openxmlformats.org/spreadsheetml/2006/main" xmlns:mc="http://schemas.openxmlformats.org/markup-compatibility/2006" xmlns:x14="http://schemas.microsoft.com/office/spreadsheetml/2009/9/main" xmlns:x14ac="http://schemas.microsoft.com/office/spreadsheetml/2009/9/ac" xmlns:x16r2="http://schemas.microsoft.com/office/spreadsheetml/2015/02/main" mc:Ignorable="x14ac x16r2">
  <fonts count="2">
    <font>
      <sz val="11.000000"/>
      <color theme="1"/>
      <name val="Calibri"/>
      <scheme val="minor"/>
    </font>
    <font>
      <u/>
      <sz val="11.000000"/>
      <color theme="10"/>
      <name val="Calibri"/>
    </font>
  </fonts>
  <fills count="2">
    <fill>
      <patternFill patternType="none"/>
    </fill>
    <fill>
      <patternFill patternType="gray125"/>
    </fill>
  </fills>
  <borders count="1">
    <border>
      <left style="none"/>
      <right style="none"/>
      <top style="none"/>
      <bottom style="none"/>
      <diagonal style="none"/>
    </border>
  </borders>
  <cellStyleXfs count="1">
    <xf fontId="0" fillId="0" borderId="0" numFmtId="0" applyNumberFormat="1" applyFont="1" applyFill="1" applyBorder="1"/>
  </cellStyleXfs>
  <cellXfs count="6">
    <xf fontId="0" fillId="0" borderId="0" numFmtId="0" xfId="0"/>
    <xf fontId="0" fillId="0" borderId="0" numFmtId="0" xfId="0"/>
    <xf fontId="1" fillId="0" borderId="0" numFmtId="0" xfId="0" applyFont="1"/>
    <xf fontId="0" fillId="0" borderId="0" numFmtId="2" xfId="0" applyNumberFormat="1"/>
    <xf fontId="0" fillId="0" borderId="0" numFmtId="2" xfId="0" applyNumberFormat="1"/>
    <xf fontId="0" fillId="0" borderId="0" numFmt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 Id="rId1" Type="http://schemas.openxmlformats.org/officeDocument/2006/relationships/worksheet" Target="worksheets/sheet1.xml"/><Relationship  Id="rId2" Type="http://schemas.openxmlformats.org/officeDocument/2006/relationships/worksheet" Target="worksheets/sheet2.xml"/><Relationship  Id="rId3" Type="http://schemas.openxmlformats.org/officeDocument/2006/relationships/theme" Target="theme/theme1.xml"/><Relationship  Id="rId4" Type="http://schemas.openxmlformats.org/officeDocument/2006/relationships/sharedStrings" Target="sharedStrings.xml"/><Relationship  Id="rId5" Type="http://schemas.openxmlformats.org/officeDocument/2006/relationships/styles" Target="styles.xml"/></Relationships>
</file>

<file path=xl/theme/theme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Angsana New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明朝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Cordia New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theme/theme1.xml><?xml version="1.0" encoding="utf-8"?>
<a:theme xmlns:a="http://schemas.openxmlformats.org/drawingml/2006/main" xmlns:r="http://schemas.openxmlformats.org/officeDocument/2006/relationships" xmlns:p="http://schemas.openxmlformats.org/presentationml/2006/main" name="Office Theme">
  <a:themeElements>
    <a:clrScheme name="New 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Arial"/>
        <a:cs typeface="Arial"/>
      </a:majorFont>
      <a:minorFont>
        <a:latin typeface="Calibri"/>
        <a:ea typeface="Arial"/>
        <a:cs typeface="Arial"/>
      </a:minorFont>
    </a:fontScheme>
    <a:fmtScheme name="Office">
      <a:fillStyleLst>
        <a:solidFill>
          <a:schemeClr val="phClr"/>
        </a:solidFill>
        <a:gradFill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</a:theme>
</file>

<file path=xl/worksheets/_rels/sheet1.xml.rels><?xml version="1.0" encoding="UTF-8" standalone="yes"?><Relationships xmlns="http://schemas.openxmlformats.org/package/2006/relationships"><Relationship  Id="rId1" Type="http://schemas.openxmlformats.org/officeDocument/2006/relationships/hyperlink" Target="https://&#8203;doi.&#8203;org/&#8203;10.&#8203;1136/&#8203;bmjno-&#8203;2025-&#8203;001210" TargetMode="External"/><Relationship  Id="rId2" Type="http://schemas.openxmlformats.org/officeDocument/2006/relationships/hyperlink" Target="https://doi.org/10.1111/irv.70185" TargetMode="External"/><Relationship  Id="rId3" Type="http://schemas.openxmlformats.org/officeDocument/2006/relationships/hyperlink" Target="https://doi.org/10.1186/s12942-025-00446-2" TargetMode="External"/><Relationship  Id="rId4" Type="http://schemas.openxmlformats.org/officeDocument/2006/relationships/hyperlink" Target="https://doi.org/10.1371/journal.pone.0261980" TargetMode="External"/><Relationship  Id="rId5" Type="http://schemas.openxmlformats.org/officeDocument/2006/relationships/hyperlink" Target="https://doi.org/10.1080/21623945.2025.2596403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4.25"/>
  <cols>
    <col bestFit="1" min="3" max="3" width="39.00390625"/>
    <col bestFit="1" min="4" max="4" width="14.640625"/>
    <col bestFit="1" min="5" max="5" width="19.7109375"/>
    <col bestFit="1" min="6" max="6" width="23.8515625"/>
    <col bestFit="1" min="7" max="7" width="20.78125"/>
    <col bestFit="1" min="8" max="8" width="10.7109375"/>
  </cols>
  <sheetData>
    <row r="1" ht="14.25">
      <c r="A1" t="s">
        <v>0</v>
      </c>
      <c r="B1" s="1" t="s">
        <v>1</v>
      </c>
      <c r="C1" t="s">
        <v>2</v>
      </c>
      <c r="D1" t="s">
        <v>3</v>
      </c>
      <c r="E1" t="s">
        <v>4</v>
      </c>
      <c r="F1" s="1" t="s">
        <v>5</v>
      </c>
      <c r="G1" s="1" t="s">
        <v>6</v>
      </c>
      <c r="H1" t="s">
        <v>7</v>
      </c>
    </row>
    <row r="2" ht="14.25">
      <c r="A2">
        <v>1</v>
      </c>
      <c r="B2" s="1" t="s">
        <v>8</v>
      </c>
      <c r="C2" s="2" t="s">
        <v>9</v>
      </c>
      <c r="D2" t="s">
        <v>10</v>
      </c>
      <c r="E2" t="s">
        <v>11</v>
      </c>
      <c r="F2" t="s">
        <v>10</v>
      </c>
      <c r="G2" t="s">
        <v>11</v>
      </c>
      <c r="H2" s="3">
        <v>160</v>
      </c>
    </row>
    <row r="3" ht="14.25">
      <c r="A3">
        <v>2</v>
      </c>
      <c r="B3" s="1" t="s">
        <v>12</v>
      </c>
      <c r="C3" s="2" t="s">
        <v>13</v>
      </c>
      <c r="D3" t="s">
        <v>14</v>
      </c>
      <c r="E3" t="s">
        <v>15</v>
      </c>
      <c r="F3" t="s">
        <v>14</v>
      </c>
      <c r="G3" t="s">
        <v>15</v>
      </c>
      <c r="H3" s="4">
        <v>122</v>
      </c>
    </row>
    <row r="4" ht="14.25">
      <c r="A4">
        <v>3</v>
      </c>
      <c r="B4" s="5" t="s">
        <v>16</v>
      </c>
      <c r="C4" s="2" t="s">
        <v>17</v>
      </c>
      <c r="D4" t="s">
        <v>18</v>
      </c>
      <c r="E4" t="s">
        <v>15</v>
      </c>
      <c r="F4" t="s">
        <v>18</v>
      </c>
      <c r="G4" t="s">
        <v>15</v>
      </c>
      <c r="H4" s="4">
        <v>128</v>
      </c>
    </row>
    <row r="5" ht="14.25">
      <c r="A5">
        <v>4</v>
      </c>
      <c r="B5" s="5" t="s">
        <v>19</v>
      </c>
      <c r="C5" s="2" t="s">
        <v>20</v>
      </c>
      <c r="D5" t="s">
        <v>14</v>
      </c>
      <c r="E5" t="s">
        <v>11</v>
      </c>
      <c r="F5" t="s">
        <v>21</v>
      </c>
      <c r="G5" t="s">
        <v>11</v>
      </c>
      <c r="H5" s="4">
        <v>141</v>
      </c>
    </row>
    <row r="6" ht="14.25">
      <c r="A6">
        <v>5</v>
      </c>
      <c r="B6" s="5" t="s">
        <v>22</v>
      </c>
      <c r="C6" s="2" t="s">
        <v>23</v>
      </c>
      <c r="D6" t="s">
        <v>24</v>
      </c>
      <c r="E6" t="s">
        <v>11</v>
      </c>
      <c r="F6" t="s">
        <v>24</v>
      </c>
      <c r="G6" t="s">
        <v>25</v>
      </c>
      <c r="H6" s="4">
        <v>147</v>
      </c>
    </row>
    <row r="10" ht="14.25">
      <c r="F10" t="s">
        <v>26</v>
      </c>
      <c r="G10">
        <v>10</v>
      </c>
    </row>
    <row r="11" ht="14.25">
      <c r="F11" t="s">
        <v>27</v>
      </c>
      <c r="G11">
        <v>8</v>
      </c>
    </row>
    <row r="12" ht="14.25">
      <c r="F12" t="s">
        <v>28</v>
      </c>
      <c r="G12">
        <v>1</v>
      </c>
      <c r="H12" t="s">
        <v>29</v>
      </c>
      <c r="I12" s="4">
        <f>AVERAGE(H2:H6)</f>
        <v>139.59999999999999</v>
      </c>
    </row>
    <row r="13" ht="14.25">
      <c r="F13" t="s">
        <v>30</v>
      </c>
      <c r="G13">
        <v>1</v>
      </c>
      <c r="H13" t="s">
        <v>31</v>
      </c>
      <c r="I13" s="4">
        <f>MEDIAN(H2:H6)</f>
        <v>141</v>
      </c>
    </row>
    <row r="14" ht="14.25">
      <c r="H14" t="s">
        <v>32</v>
      </c>
      <c r="I14">
        <f>STDEV(H2:H6)</f>
        <v>15.142654985173506</v>
      </c>
    </row>
  </sheetData>
  <hyperlinks>
    <hyperlink r:id="rId1" ref="C2"/>
    <hyperlink r:id="rId2" ref="C3"/>
    <hyperlink r:id="rId3" ref="C4"/>
    <hyperlink r:id="rId4" ref="C5"/>
    <hyperlink r:id="rId5" ref="C6"/>
  </hyperlinks>
  <printOptions headings="0" gridLines="0"/>
  <pageMargins left="0.69999999999999996" right="0.69999999999999996" top="0.75" bottom="0.75" header="0.29999999999999999" footer="0.29999999999999999"/>
  <pageSetup paperSize="1" scale="100" fitToWidth="1" fitToHeight="1" pageOrder="downThenOver" orientation="portrait" usePrinterDefaults="1" blackAndWhite="0" draft="0" cellComments="none" useFirstPageNumber="0" errors="displayed" horizontalDpi="600" verticalDpi="0" copies="1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">
  <sheetViews>
    <sheetView zoomScale="100" workbookViewId="0">
      <selection activeCell="A1" activeCellId="0" sqref="A1"/>
    </sheetView>
  </sheetViews>
  <sheetFormatPr defaultRowHeight="15"/>
  <sheetData>
    <row r="1">
      <c r="A1" t="s">
        <v>33</v>
      </c>
      <c r="B1" t="s">
        <v>34</v>
      </c>
    </row>
    <row r="2">
      <c r="A2" t="s">
        <v>35</v>
      </c>
      <c r="B2" t="s">
        <v>36</v>
      </c>
    </row>
    <row r="3">
      <c r="A3" t="s">
        <v>37</v>
      </c>
      <c r="B3" t="s">
        <v>38</v>
      </c>
    </row>
  </sheetData>
  <printOptions headings="0" gridLines="0"/>
  <pageMargins left="0.70078740157480324" right="0.70078740157480324" top="0.75196850393700787" bottom="0.75196850393700787" header="0.29999999999999999" footer="0.29999999999999999"/>
  <pageSetup paperSize="9" scale="100" fitToWidth="1" fitToHeight="1" pageOrder="downThenOver" orientation="portrait" usePrinterDefaults="1" blackAndWhite="0" draft="0" cellComments="none" useFirstPageNumber="0" errors="displayed" horizontalDpi="600" verticalDpi="600" copies="1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ONLYOFFICE/9.2.0.100</Application>
  <DocSecurity>0</DocSecurity>
  <ScaleCrop>0</ScaleCrop>
  <HeadingPairs>
    <vt:vector size="0" baseType="variant"/>
  </HeadingPairs>
  <TitlesOfParts>
    <vt:vector size="0" baseType="lpstr"/>
  </TitlesOfParts>
  <Company/>
  <LinksUpToDate>0</LinksUpToDate>
  <SharedDoc>0</SharedDoc>
  <HyperlinksChanged>0</HyperlinksChanged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revision>1</cp:revision>
  <dcterms:modified xsi:type="dcterms:W3CDTF">2025-12-29T05:23:28Z</dcterms:modified>
</cp:coreProperties>
</file>